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<sst xmlns="http://schemas.openxmlformats.org/spreadsheetml/2006/main" count="9" uniqueCount="9">
  <si>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NTS</t>
  </si>
  <si>
    <t>ECS</t>
  </si>
  <si>
    <t>CDS</t>
  </si>
  <si>
    <t>Cultivated Land</t>
  </si>
  <si>
    <t>Forest Land</t>
  </si>
  <si>
    <t>Grass Land</t>
  </si>
  <si>
    <t>Water</t>
  </si>
  <si>
    <t>Construction Land</t>
  </si>
  <si>
    <t>Unused Land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</si>
</sst>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K20" sqref="K20"/>
    </sheetView>
  </sheetViews>
  <sheetFormatPr defaultColWidth="8.72727272727273" defaultRowHeight="14"/>
  <cols>
    <col min="2" max="7" width="12.8181818181818"/>
    <col min="8" max="8" width="11.7272727272727"/>
    <col min="9" max="12" width="12.8181818181818"/>
    <col min="13" max="14" width="10.5454545454545"/>
  </cols>
  <sheetData>
    <row r="1" spans="1:14">
      <c r="B1">
        <v>2000</v>
      </c>
      <c r="C1">
        <v>2010</v>
      </c>
      <c r="D1">
        <v>2020</v>
      </c>
      <c r="E1" t="s">
        <v>0</v>
      </c>
      <c r="F1" t="s">
        <v>1</v>
      </c>
      <c r="G1" t="s">
        <v>2</v>
      </c>
    </row>
    <row r="2" spans="1:14">
      <c r="A2" t="s">
        <v>3</v>
      </c>
      <c r="B2">
        <v>108175.77</v>
      </c>
      <c r="C2">
        <v>106294.04</v>
      </c>
      <c r="D2">
        <v>103349.07</v>
      </c>
      <c r="E2">
        <v>100699.04</v>
      </c>
      <c r="F2">
        <v>100604.73</v>
      </c>
      <c r="G2">
        <v>102047.78</v>
      </c>
      <c r="I2">
        <f t="shared" ref="I2:N2" si="0">B2/100</f>
        <v>1081.7577</v>
      </c>
      <c r="J2">
        <f t="shared" si="0"/>
        <v>1062.9404</v>
      </c>
      <c r="K2">
        <f t="shared" si="0"/>
        <v>1033.4907</v>
      </c>
      <c r="L2">
        <f t="shared" si="0"/>
        <v>1006.9904</v>
      </c>
      <c r="M2">
        <f t="shared" si="0"/>
        <v>1006.0473</v>
      </c>
      <c r="N2">
        <f t="shared" si="0"/>
        <v>1020.4778</v>
      </c>
    </row>
    <row r="3" spans="1:14">
      <c r="A3" t="s">
        <v>4</v>
      </c>
      <c r="B3">
        <v>26970.22</v>
      </c>
      <c r="C3">
        <v>27144.12</v>
      </c>
      <c r="D3">
        <v>27061.67</v>
      </c>
      <c r="E3">
        <v>26970.41</v>
      </c>
      <c r="F3">
        <v>27616.2</v>
      </c>
      <c r="G3">
        <v>26769.74</v>
      </c>
      <c r="I3">
        <f t="shared" ref="I3:N3" si="1">B3/100</f>
        <v>269.7022</v>
      </c>
      <c r="J3">
        <f t="shared" si="1"/>
        <v>271.4412</v>
      </c>
      <c r="K3">
        <f t="shared" si="1"/>
        <v>270.6167</v>
      </c>
      <c r="L3">
        <f t="shared" si="1"/>
        <v>269.7041</v>
      </c>
      <c r="M3">
        <f t="shared" si="1"/>
        <v>276.162</v>
      </c>
      <c r="N3">
        <f t="shared" si="1"/>
        <v>267.6974</v>
      </c>
    </row>
    <row r="4" spans="1:14">
      <c r="A4" t="s">
        <v>5</v>
      </c>
      <c r="B4">
        <v>9480.33</v>
      </c>
      <c r="C4">
        <v>8889.87</v>
      </c>
      <c r="D4">
        <v>8949.77</v>
      </c>
      <c r="E4">
        <v>9002.47</v>
      </c>
      <c r="F4">
        <v>9133.98</v>
      </c>
      <c r="G4">
        <v>8941.63</v>
      </c>
      <c r="I4">
        <f t="shared" ref="I4:N4" si="2">B4/100</f>
        <v>94.8033</v>
      </c>
      <c r="J4">
        <f t="shared" si="2"/>
        <v>88.8987</v>
      </c>
      <c r="K4">
        <f t="shared" si="2"/>
        <v>89.4977</v>
      </c>
      <c r="L4">
        <f t="shared" si="2"/>
        <v>90.0247</v>
      </c>
      <c r="M4">
        <f t="shared" si="2"/>
        <v>91.3398</v>
      </c>
      <c r="N4">
        <f t="shared" si="2"/>
        <v>89.4163</v>
      </c>
    </row>
    <row r="5" spans="1:14">
      <c r="A5" t="s">
        <v>6</v>
      </c>
      <c r="B5">
        <v>3579.29</v>
      </c>
      <c r="C5">
        <v>4009.12</v>
      </c>
      <c r="D5">
        <v>4289.88</v>
      </c>
      <c r="E5">
        <v>4542.61</v>
      </c>
      <c r="F5">
        <v>4681.35</v>
      </c>
      <c r="G5">
        <v>4546.25</v>
      </c>
      <c r="I5">
        <f t="shared" ref="I5:N5" si="3">B5/100</f>
        <v>35.7929</v>
      </c>
      <c r="J5">
        <f t="shared" si="3"/>
        <v>40.0912</v>
      </c>
      <c r="K5">
        <f t="shared" si="3"/>
        <v>42.8988</v>
      </c>
      <c r="L5">
        <f t="shared" si="3"/>
        <v>45.4261</v>
      </c>
      <c r="M5">
        <f t="shared" si="3"/>
        <v>46.8135</v>
      </c>
      <c r="N5">
        <f t="shared" si="3"/>
        <v>45.4625</v>
      </c>
    </row>
    <row r="6" spans="1:14">
      <c r="A6" t="s">
        <v>7</v>
      </c>
      <c r="B6">
        <v>17298</v>
      </c>
      <c r="C6">
        <v>19233.7</v>
      </c>
      <c r="D6">
        <v>21916.28</v>
      </c>
      <c r="E6">
        <v>24349.45</v>
      </c>
      <c r="F6">
        <v>23542.61</v>
      </c>
      <c r="G6">
        <v>23260.13</v>
      </c>
      <c r="I6">
        <f t="shared" ref="I6:N6" si="4">B6/100</f>
        <v>172.98</v>
      </c>
      <c r="J6">
        <f t="shared" si="4"/>
        <v>192.337</v>
      </c>
      <c r="K6">
        <f t="shared" si="4"/>
        <v>219.1628</v>
      </c>
      <c r="L6">
        <f t="shared" si="4"/>
        <v>243.4945</v>
      </c>
      <c r="M6">
        <f t="shared" si="4"/>
        <v>235.4261</v>
      </c>
      <c r="N6">
        <f t="shared" si="4"/>
        <v>232.6013</v>
      </c>
    </row>
    <row r="7" spans="1:14">
      <c r="A7" t="s">
        <v>8</v>
      </c>
      <c r="B7">
        <v>86.57</v>
      </c>
      <c r="C7">
        <v>19.33</v>
      </c>
      <c r="D7">
        <v>23.51</v>
      </c>
      <c r="E7">
        <v>26.2</v>
      </c>
      <c r="F7">
        <v>11.31</v>
      </c>
      <c r="G7">
        <v>24.65</v>
      </c>
      <c r="I7">
        <f t="shared" ref="I7:N7" si="5">B7/100</f>
        <v>0.8657</v>
      </c>
      <c r="J7">
        <f t="shared" si="5"/>
        <v>0.1933</v>
      </c>
      <c r="K7">
        <f t="shared" si="5"/>
        <v>0.2351</v>
      </c>
      <c r="L7">
        <f t="shared" si="5"/>
        <v>0.262</v>
      </c>
      <c r="M7">
        <f t="shared" si="5"/>
        <v>0.1131</v>
      </c>
      <c r="N7">
        <f t="shared" si="5"/>
        <v>0.2465</v>
      </c>
    </row>
    <row r="8" spans="1:14">
      <c r="B8">
        <f t="shared" ref="B8:G8" si="6">SUM(B2:B7)</f>
        <v>165590.18</v>
      </c>
      <c r="C8">
        <f t="shared" si="6"/>
        <v>165590.18</v>
      </c>
      <c r="D8">
        <f t="shared" si="6"/>
        <v>165590.18</v>
      </c>
      <c r="E8">
        <f t="shared" si="6"/>
        <v>165590.18</v>
      </c>
      <c r="F8">
        <f t="shared" si="6"/>
        <v>165590.18</v>
      </c>
      <c r="G8">
        <f t="shared" si="6"/>
        <v>165590.18</v>
      </c>
    </row>
    <row r="9" spans="1:14">
      <c r="B9">
        <f t="shared" ref="B9:G9" si="7">B2/$B$8</f>
        <v>0.653274064923415</v>
      </c>
      <c r="C9">
        <f t="shared" si="7"/>
        <v>0.641910287192151</v>
      </c>
      <c r="D9">
        <f t="shared" si="7"/>
        <v>0.624125597302932</v>
      </c>
      <c r="E9">
        <f t="shared" si="7"/>
        <v>0.60812205168205</v>
      </c>
      <c r="F9">
        <f t="shared" si="7"/>
        <v>0.607552513077768</v>
      </c>
      <c r="G9">
        <f t="shared" si="7"/>
        <v>0.616267099896866</v>
      </c>
    </row>
    <row r="10" spans="1:14">
      <c r="B10">
        <f>B3/$B$8</f>
        <v>0.162873305651338</v>
      </c>
      <c r="C10">
        <f>C3/$B$8</f>
        <v>0.163923488699632</v>
      </c>
      <c r="D10">
        <f t="shared" ref="D10:D15" si="8">D3/$B$8</f>
        <v>0.163425572700024</v>
      </c>
      <c r="E10">
        <f>E3/$B$8</f>
        <v>0.162874453062374</v>
      </c>
      <c r="F10">
        <f t="shared" ref="F10:F15" si="9">F3/$B$8</f>
        <v>0.166774382393932</v>
      </c>
      <c r="G10">
        <f>G3/$B$8</f>
        <v>0.1616626058381</v>
      </c>
    </row>
    <row r="11" spans="1:14">
      <c r="B11">
        <f>B4/$B$8</f>
        <v>0.0572517645671984</v>
      </c>
      <c r="C11">
        <f>C4/$B$8</f>
        <v>0.0536859734073603</v>
      </c>
      <c r="D11">
        <f t="shared" si="8"/>
        <v>0.054047709834001</v>
      </c>
      <c r="E11">
        <f>E4/$B$8</f>
        <v>0.0543659654213795</v>
      </c>
      <c r="F11">
        <f t="shared" si="9"/>
        <v>0.0551601550285168</v>
      </c>
      <c r="G11">
        <f>G4/$B$8</f>
        <v>0.0539985523296128</v>
      </c>
    </row>
    <row r="12" spans="1:14">
      <c r="B12">
        <f>B5/$B$8</f>
        <v>0.0216153518282304</v>
      </c>
      <c r="C12">
        <f>C5/$B$8</f>
        <v>0.0242110975421369</v>
      </c>
      <c r="D12">
        <f t="shared" si="8"/>
        <v>0.0259066087131495</v>
      </c>
      <c r="E12">
        <f>E5/$B$8</f>
        <v>0.0274328465613118</v>
      </c>
      <c r="F12">
        <f t="shared" si="9"/>
        <v>0.028270698177875</v>
      </c>
      <c r="G12">
        <f>G5/$B$8</f>
        <v>0.0274548285411611</v>
      </c>
    </row>
    <row r="13" spans="1:14">
      <c r="B13">
        <f>B6/$B$8</f>
        <v>0.104462716327744</v>
      </c>
      <c r="C13">
        <f>C6/$B$8</f>
        <v>0.116152419183311</v>
      </c>
      <c r="D13">
        <f t="shared" si="8"/>
        <v>0.132352534431692</v>
      </c>
      <c r="E13">
        <f>E6/$B$8</f>
        <v>0.147046461330014</v>
      </c>
      <c r="F13">
        <f t="shared" si="9"/>
        <v>0.142173950170234</v>
      </c>
      <c r="G13">
        <f>G6/$B$8</f>
        <v>0.140468051909842</v>
      </c>
    </row>
    <row r="14" spans="1:14">
      <c r="B14">
        <f>B7/$B$8</f>
        <v>0.000522796702074966</v>
      </c>
      <c r="C14">
        <f>C7/$B$8</f>
        <v>0.000116733975408445</v>
      </c>
      <c r="D14">
        <f t="shared" si="8"/>
        <v>0.000141977018202408</v>
      </c>
      <c r="E14">
        <f>E7/$B$8</f>
        <v>0.00015822194287125</v>
      </c>
      <c r="F14">
        <f t="shared" si="9"/>
        <v>6.8301151674574e-5</v>
      </c>
      <c r="G14">
        <f>G7/$B$8</f>
        <v>0.000148861484418943</v>
      </c>
    </row>
    <row r="15" spans="1:14">
      <c r="B15">
        <f t="shared" ref="B15:G15" si="10">SUM(B11,B12,B14)</f>
        <v>0.0793899130975037</v>
      </c>
      <c r="C15">
        <f t="shared" si="10"/>
        <v>0.0780138049249056</v>
      </c>
      <c r="D15">
        <f t="shared" si="10"/>
        <v>0.080096295565353</v>
      </c>
      <c r="E15">
        <f t="shared" si="10"/>
        <v>0.0819570339255625</v>
      </c>
      <c r="F15">
        <f t="shared" si="10"/>
        <v>0.0834991543580664</v>
      </c>
      <c r="G15">
        <f t="shared" si="10"/>
        <v>0.0816022423551928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</dc:creator>
  <cp:lastModifiedBy>iwineeeee</cp:lastModifiedBy>
  <dcterms:created xsi:type="dcterms:W3CDTF">2025-12-16T20:16:00Z</dcterms:created>
  <dcterms:modified xsi:type="dcterms:W3CDTF">2026-01-28T14:05:17Z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AD38C251BE6748AEBB8DBA1C27EFF5E5_11</vt:lpwstr>
  </property>
  <property fmtid="{D5CDD505-2E9C-101B-9397-08002B2CF9AE}" pid="3" name="KSOProductBuildVer">
    <vt:lpwstr>2052-12.1.0.23542</vt:lpwstr>
  </property>
</Properties>
</file>